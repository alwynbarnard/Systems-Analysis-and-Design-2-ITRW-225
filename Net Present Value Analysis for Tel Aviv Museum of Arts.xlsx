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F:\ITRW 225\Tel Aviv Museum of Art Project\"/>
    </mc:Choice>
  </mc:AlternateContent>
  <xr:revisionPtr revIDLastSave="0" documentId="13_ncr:1_{F025BD3B-1F17-49D5-9246-2DB7DBA57B70}" xr6:coauthVersionLast="36" xr6:coauthVersionMax="36" xr10:uidLastSave="{00000000-0000-0000-0000-000000000000}"/>
  <bookViews>
    <workbookView xWindow="0" yWindow="0" windowWidth="20490" windowHeight="7545" xr2:uid="{3EF186F7-8EA4-4552-AC0A-2D0FCD4F89E6}"/>
  </bookViews>
  <sheets>
    <sheet name="As-Is Alternative" sheetId="1" r:id="rId1"/>
    <sheet name="Artsystems Pro Alternative" sheetId="2" r:id="rId2"/>
    <sheet name="Custom Built Software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8" i="3" l="1"/>
  <c r="H13" i="3" s="1"/>
  <c r="H14" i="3" s="1"/>
  <c r="G8" i="3"/>
  <c r="G13" i="3" s="1"/>
  <c r="G14" i="3" s="1"/>
  <c r="F8" i="3"/>
  <c r="F9" i="3" s="1"/>
  <c r="E8" i="3"/>
  <c r="E13" i="3" s="1"/>
  <c r="E14" i="3" s="1"/>
  <c r="D8" i="3"/>
  <c r="D13" i="3" s="1"/>
  <c r="D14" i="3" s="1"/>
  <c r="C8" i="3"/>
  <c r="C13" i="3" s="1"/>
  <c r="C14" i="3" s="1"/>
  <c r="C15" i="3" s="1"/>
  <c r="B8" i="3"/>
  <c r="B9" i="3" s="1"/>
  <c r="B10" i="3" s="1"/>
  <c r="C13" i="2"/>
  <c r="C14" i="2" s="1"/>
  <c r="C15" i="2" s="1"/>
  <c r="G9" i="2"/>
  <c r="F9" i="2"/>
  <c r="C9" i="2"/>
  <c r="H8" i="2"/>
  <c r="H13" i="2" s="1"/>
  <c r="H14" i="2" s="1"/>
  <c r="G8" i="2"/>
  <c r="G13" i="2" s="1"/>
  <c r="G14" i="2" s="1"/>
  <c r="F8" i="2"/>
  <c r="F13" i="2" s="1"/>
  <c r="F14" i="2" s="1"/>
  <c r="E8" i="2"/>
  <c r="E13" i="2" s="1"/>
  <c r="E14" i="2" s="1"/>
  <c r="D8" i="2"/>
  <c r="D9" i="2" s="1"/>
  <c r="C8" i="2"/>
  <c r="B8" i="2"/>
  <c r="B13" i="2" s="1"/>
  <c r="B14" i="2" s="1"/>
  <c r="H13" i="1"/>
  <c r="H14" i="1" s="1"/>
  <c r="B9" i="1"/>
  <c r="B10" i="1" s="1"/>
  <c r="H8" i="1"/>
  <c r="H9" i="1" s="1"/>
  <c r="G8" i="1"/>
  <c r="G9" i="1" s="1"/>
  <c r="F8" i="1"/>
  <c r="F13" i="1" s="1"/>
  <c r="F14" i="1" s="1"/>
  <c r="E8" i="1"/>
  <c r="E13" i="1" s="1"/>
  <c r="E14" i="1" s="1"/>
  <c r="D8" i="1"/>
  <c r="D9" i="1" s="1"/>
  <c r="C8" i="1"/>
  <c r="C13" i="1" s="1"/>
  <c r="C14" i="1" s="1"/>
  <c r="C15" i="1" s="1"/>
  <c r="B8" i="1"/>
  <c r="B13" i="1" s="1"/>
  <c r="B14" i="1" s="1"/>
  <c r="D13" i="1" l="1"/>
  <c r="D14" i="1" s="1"/>
  <c r="B9" i="2"/>
  <c r="B10" i="2" s="1"/>
  <c r="B17" i="2" s="1"/>
  <c r="E9" i="3"/>
  <c r="G9" i="3"/>
  <c r="F9" i="1"/>
  <c r="E9" i="2"/>
  <c r="C9" i="3"/>
  <c r="C10" i="3" s="1"/>
  <c r="D10" i="3" s="1"/>
  <c r="H9" i="3"/>
  <c r="D9" i="3"/>
  <c r="D15" i="3"/>
  <c r="B17" i="3"/>
  <c r="B13" i="3"/>
  <c r="B14" i="3" s="1"/>
  <c r="F13" i="3"/>
  <c r="F14" i="3" s="1"/>
  <c r="C10" i="2"/>
  <c r="D10" i="2" s="1"/>
  <c r="E10" i="2" s="1"/>
  <c r="F10" i="2" s="1"/>
  <c r="G10" i="2" s="1"/>
  <c r="D13" i="2"/>
  <c r="D14" i="2" s="1"/>
  <c r="D15" i="2" s="1"/>
  <c r="H9" i="2"/>
  <c r="B17" i="1"/>
  <c r="D15" i="1"/>
  <c r="C9" i="1"/>
  <c r="C10" i="1" s="1"/>
  <c r="E9" i="1"/>
  <c r="G13" i="1"/>
  <c r="G14" i="1" s="1"/>
  <c r="E10" i="3" l="1"/>
  <c r="F10" i="3" s="1"/>
  <c r="G10" i="3" s="1"/>
  <c r="H10" i="3" s="1"/>
  <c r="D17" i="3"/>
  <c r="E15" i="3"/>
  <c r="C17" i="3"/>
  <c r="C17" i="2"/>
  <c r="D17" i="2"/>
  <c r="E15" i="2"/>
  <c r="H10" i="2"/>
  <c r="D10" i="1"/>
  <c r="E10" i="1" s="1"/>
  <c r="F10" i="1" s="1"/>
  <c r="G10" i="1" s="1"/>
  <c r="H10" i="1" s="1"/>
  <c r="C17" i="1"/>
  <c r="E15" i="1"/>
  <c r="D17" i="1"/>
  <c r="F15" i="3" l="1"/>
  <c r="E17" i="3"/>
  <c r="F15" i="2"/>
  <c r="E17" i="2"/>
  <c r="F15" i="1"/>
  <c r="E17" i="1"/>
  <c r="G15" i="3" l="1"/>
  <c r="F17" i="3"/>
  <c r="G15" i="2"/>
  <c r="F17" i="2"/>
  <c r="G15" i="1"/>
  <c r="F17" i="1"/>
  <c r="G17" i="3" l="1"/>
  <c r="H15" i="3"/>
  <c r="H17" i="3" s="1"/>
  <c r="G17" i="2"/>
  <c r="H15" i="2"/>
  <c r="H17" i="2" s="1"/>
  <c r="H15" i="1"/>
  <c r="H17" i="1" s="1"/>
  <c r="G17" i="1"/>
</calcChain>
</file>

<file path=xl/sharedStrings.xml><?xml version="1.0" encoding="utf-8"?>
<sst xmlns="http://schemas.openxmlformats.org/spreadsheetml/2006/main" count="63" uniqueCount="23">
  <si>
    <t>Cash Flow Description</t>
  </si>
  <si>
    <t>Year 0</t>
  </si>
  <si>
    <t>Year 1</t>
  </si>
  <si>
    <t>Year 2</t>
  </si>
  <si>
    <t>Year 3</t>
  </si>
  <si>
    <t>Year 4</t>
  </si>
  <si>
    <t>Year 5</t>
  </si>
  <si>
    <t>Year 6</t>
  </si>
  <si>
    <t>Rounded to the nearest R1</t>
  </si>
  <si>
    <t>Development cost:</t>
  </si>
  <si>
    <t>Operation and Maintenance cost:</t>
  </si>
  <si>
    <t>Discount Factors for 5%:</t>
  </si>
  <si>
    <r>
      <t xml:space="preserve">Present Value of Annual </t>
    </r>
    <r>
      <rPr>
        <b/>
        <sz val="11"/>
        <color theme="1"/>
        <rFont val="Arial"/>
        <family val="2"/>
        <scheme val="minor"/>
      </rPr>
      <t>Cost</t>
    </r>
    <r>
      <rPr>
        <sz val="11"/>
        <color theme="1"/>
        <rFont val="Arial"/>
        <family val="2"/>
        <scheme val="minor"/>
      </rPr>
      <t>:</t>
    </r>
  </si>
  <si>
    <t>Total Present Value of Lifetime Costs:</t>
  </si>
  <si>
    <t>Discount Factors of 5%:</t>
  </si>
  <si>
    <t>Benefit Deprived from Operation of New System:</t>
  </si>
  <si>
    <r>
      <t xml:space="preserve">Present Value of Annual </t>
    </r>
    <r>
      <rPr>
        <b/>
        <sz val="11"/>
        <color theme="1"/>
        <rFont val="Arial"/>
        <family val="2"/>
        <scheme val="minor"/>
      </rPr>
      <t>Benefit</t>
    </r>
  </si>
  <si>
    <t>Total Present Value of Lifetime Benefits:</t>
  </si>
  <si>
    <t>NET PRESENT VALUE OF THIS ALTERNATIVE:</t>
  </si>
  <si>
    <r>
      <t xml:space="preserve">NET PRESENT VALUE ANALYSIS FOR </t>
    </r>
    <r>
      <rPr>
        <b/>
        <sz val="18"/>
        <color theme="3"/>
        <rFont val="Arial"/>
        <family val="2"/>
        <scheme val="major"/>
      </rPr>
      <t>ARTSYSTEMS PRO</t>
    </r>
    <r>
      <rPr>
        <sz val="18"/>
        <color theme="3"/>
        <rFont val="Arial"/>
        <family val="2"/>
        <scheme val="major"/>
      </rPr>
      <t xml:space="preserve"> ALTERNATIVE</t>
    </r>
  </si>
  <si>
    <r>
      <t xml:space="preserve">NET PRESENT VALUE ANALYSIS FOR </t>
    </r>
    <r>
      <rPr>
        <b/>
        <sz val="18"/>
        <color theme="3"/>
        <rFont val="Arial"/>
        <family val="2"/>
        <scheme val="major"/>
      </rPr>
      <t>AS-IS SYSTEM</t>
    </r>
    <r>
      <rPr>
        <sz val="18"/>
        <color theme="3"/>
        <rFont val="Arial"/>
        <family val="2"/>
        <scheme val="major"/>
      </rPr>
      <t xml:space="preserve"> ALTERNATIVE</t>
    </r>
  </si>
  <si>
    <r>
      <t xml:space="preserve">NET PRESENT VALUE ANALYSIS FOR </t>
    </r>
    <r>
      <rPr>
        <b/>
        <sz val="18"/>
        <color theme="3"/>
        <rFont val="Arial"/>
        <family val="2"/>
        <scheme val="major"/>
      </rPr>
      <t>CUSTOM-BUILT</t>
    </r>
    <r>
      <rPr>
        <sz val="18"/>
        <color theme="3"/>
        <rFont val="Arial"/>
        <family val="2"/>
        <scheme val="major"/>
      </rPr>
      <t xml:space="preserve"> ALTERNATIVE</t>
    </r>
  </si>
  <si>
    <t>TEL AVIV MUSEUM OF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</si>
</sst>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[$R-1C09]#,##0.00;[Red]\([$R-1C09]#,##0.00\)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20">
    <xf numFmtId="0" fontId="0" fillId="0" borderId="0" xfId="0"/>
    <xf numFmtId="0" fontId="3" fillId="2" borderId="1" xfId="3" applyFont="1" applyBorder="1" applyAlignment="1">
      <alignment horizontal="center" vertical="center"/>
    </xf>
    <xf numFmtId="0" fontId="3" fillId="2" borderId="3" xfId="3" applyFont="1" applyBorder="1" applyAlignment="1">
      <alignment horizontal="center" vertical="center"/>
    </xf>
    <xf numFmtId="0" fontId="0" fillId="5" borderId="2" xfId="0" applyFill="1" applyBorder="1"/>
    <xf numFmtId="164" fontId="0" fillId="5" borderId="2" xfId="1" applyNumberFormat="1" applyFont="1" applyFill="1" applyBorder="1"/>
    <xf numFmtId="0" fontId="4" fillId="0" borderId="0" xfId="0" applyFont="1" applyAlignment="1">
      <alignment wrapText="1"/>
    </xf>
    <xf numFmtId="0" fontId="0" fillId="0" borderId="0" xfId="0" applyBorder="1"/>
    <xf numFmtId="164" fontId="0" fillId="5" borderId="5" xfId="1" applyNumberFormat="1" applyFont="1" applyFill="1" applyBorder="1"/>
    <xf numFmtId="0" fontId="0" fillId="5" borderId="6" xfId="0" applyFill="1" applyBorder="1"/>
    <xf numFmtId="164" fontId="0" fillId="5" borderId="6" xfId="1" applyNumberFormat="1" applyFont="1" applyFill="1" applyBorder="1"/>
    <xf numFmtId="164" fontId="0" fillId="5" borderId="7" xfId="1" applyNumberFormat="1" applyFont="1" applyFill="1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0" fillId="3" borderId="0" xfId="0" applyFill="1"/>
    <xf numFmtId="0" fontId="0" fillId="3" borderId="2" xfId="0" applyFill="1" applyBorder="1"/>
    <xf numFmtId="0" fontId="0" fillId="3" borderId="6" xfId="0" applyFill="1" applyBorder="1"/>
    <xf numFmtId="0" fontId="0" fillId="5" borderId="0" xfId="0" applyFill="1" applyBorder="1" applyAlignment="1">
      <alignment horizontal="center" vertical="center"/>
    </xf>
    <xf numFmtId="0" fontId="2" fillId="4" borderId="0" xfId="2" applyFill="1" applyBorder="1" applyAlignment="1">
      <alignment horizontal="center" vertical="center"/>
    </xf>
    <xf numFmtId="0" fontId="6" fillId="4" borderId="0" xfId="2" applyFont="1" applyFill="1" applyBorder="1" applyAlignment="1">
      <alignment horizontal="center" vertical="center"/>
    </xf>
  </cellXfs>
  <cellStyles count="4">
    <cellStyle name="Accent2" xfId="3" builtinId="33"/>
    <cellStyle name="Currency" xfId="1" builtinId="4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adison">
  <a:themeElements>
    <a:clrScheme name="Madison">
      <a:dk1>
        <a:sysClr val="windowText" lastClr="000000"/>
      </a:dk1>
      <a:lt1>
        <a:sysClr val="window" lastClr="FFFFFF"/>
      </a:lt1>
      <a:dk2>
        <a:srgbClr val="1F2D29"/>
      </a:dk2>
      <a:lt2>
        <a:srgbClr val="C5FAEB"/>
      </a:lt2>
      <a:accent1>
        <a:srgbClr val="A1D68B"/>
      </a:accent1>
      <a:accent2>
        <a:srgbClr val="5EC795"/>
      </a:accent2>
      <a:accent3>
        <a:srgbClr val="4DADCF"/>
      </a:accent3>
      <a:accent4>
        <a:srgbClr val="CDB756"/>
      </a:accent4>
      <a:accent5>
        <a:srgbClr val="E29C36"/>
      </a:accent5>
      <a:accent6>
        <a:srgbClr val="8EC0C1"/>
      </a:accent6>
      <a:hlink>
        <a:srgbClr val="6D9D9B"/>
      </a:hlink>
      <a:folHlink>
        <a:srgbClr val="6D8583"/>
      </a:folHlink>
    </a:clrScheme>
    <a:fontScheme name="Madison">
      <a:majorFont>
        <a:latin typeface="Arial" panose="020B0604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adison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alpha val="88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adison" id="{025CB5FB-2DD3-45EE-B6F0-CC461540EB19}" vid="{6AC10936-2DFC-4054-9ADF-B5E2C5F8619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3787-A7EE-4DDD-9329-58BE7E54D342}">
  <dimension ref="A1:H18"/>
  <sheetViews>
    <sheetView tabSelected="1" workbookViewId="0">
      <selection activeCell="B17" sqref="B17"/>
    </sheetView>
  </sheetViews>
  <sheetFormatPr defaultRowHeight="14.25" x14ac:dyDescent="0.2"/>
  <cols>
    <col min="1" max="1" width="36.375" customWidth="1"/>
    <col min="2" max="3" width="11.5" bestFit="1" customWidth="1"/>
    <col min="4" max="8" width="12.5" bestFit="1" customWidth="1"/>
    <col min="9" max="9" width="3.5" customWidth="1"/>
  </cols>
  <sheetData>
    <row r="1" spans="1:8" ht="23.25" x14ac:dyDescent="0.2">
      <c r="A1" s="19" t="s">
        <v>22</v>
      </c>
      <c r="B1" s="18"/>
      <c r="C1" s="18"/>
      <c r="D1" s="18"/>
      <c r="E1" s="18"/>
      <c r="F1" s="18"/>
      <c r="G1" s="18"/>
      <c r="H1" s="18"/>
    </row>
    <row r="2" spans="1:8" ht="23.25" x14ac:dyDescent="0.2">
      <c r="A2" s="18" t="s">
        <v>20</v>
      </c>
      <c r="B2" s="18"/>
      <c r="C2" s="18"/>
      <c r="D2" s="18"/>
      <c r="E2" s="18"/>
      <c r="F2" s="18"/>
      <c r="G2" s="18"/>
      <c r="H2" s="18"/>
    </row>
    <row r="3" spans="1:8" x14ac:dyDescent="0.2">
      <c r="A3" s="17" t="s">
        <v>8</v>
      </c>
      <c r="B3" s="17"/>
      <c r="C3" s="17"/>
      <c r="D3" s="17"/>
      <c r="E3" s="17"/>
      <c r="F3" s="17"/>
      <c r="G3" s="17"/>
      <c r="H3" s="17"/>
    </row>
    <row r="4" spans="1:8" ht="15" thickBot="1" x14ac:dyDescent="0.25"/>
    <row r="5" spans="1:8" ht="15.75" thickBot="1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">
      <c r="A6" t="s">
        <v>9</v>
      </c>
      <c r="B6" s="4">
        <v>-67517</v>
      </c>
      <c r="C6" s="3"/>
      <c r="D6" s="3"/>
      <c r="E6" s="3"/>
      <c r="F6" s="3"/>
      <c r="G6" s="3"/>
      <c r="H6" s="8"/>
    </row>
    <row r="7" spans="1:8" x14ac:dyDescent="0.2">
      <c r="A7" t="s">
        <v>10</v>
      </c>
      <c r="B7" s="4">
        <v>0</v>
      </c>
      <c r="C7" s="4">
        <v>-30000</v>
      </c>
      <c r="D7" s="4">
        <v>-40000</v>
      </c>
      <c r="E7" s="4">
        <v>-50000</v>
      </c>
      <c r="F7" s="4">
        <v>-60000</v>
      </c>
      <c r="G7" s="4">
        <v>-70000</v>
      </c>
      <c r="H7" s="9">
        <v>-80000</v>
      </c>
    </row>
    <row r="8" spans="1:8" x14ac:dyDescent="0.2">
      <c r="A8" t="s">
        <v>11</v>
      </c>
      <c r="B8" s="3">
        <f>POWER(1/(1+0.05),0)</f>
        <v>1</v>
      </c>
      <c r="C8" s="3">
        <f>POWER(1/(1+0.05),1)</f>
        <v>0.95238095238095233</v>
      </c>
      <c r="D8" s="3">
        <f>POWER(1/(1+0.05),2)</f>
        <v>0.90702947845804982</v>
      </c>
      <c r="E8" s="3">
        <f>POWER(1/(1+0.05),3)</f>
        <v>0.86383759853147601</v>
      </c>
      <c r="F8" s="3">
        <f>POWER(1/(1+0.05),4)</f>
        <v>0.82270247479188185</v>
      </c>
      <c r="G8" s="3">
        <f>POWER(1/(1+0.05),5)</f>
        <v>0.78352616646845885</v>
      </c>
      <c r="H8" s="8">
        <f>POWER(1/(1+0.05),6)</f>
        <v>0.7462153966366275</v>
      </c>
    </row>
    <row r="9" spans="1:8" ht="15" x14ac:dyDescent="0.25">
      <c r="A9" t="s">
        <v>12</v>
      </c>
      <c r="B9" s="4">
        <f>B6*B8</f>
        <v>-67517</v>
      </c>
      <c r="C9" s="4">
        <f>C$7*C$8</f>
        <v>-28571.428571428569</v>
      </c>
      <c r="D9" s="4">
        <f t="shared" ref="D9:H9" si="0">D$7*D$8</f>
        <v>-36281.17913832199</v>
      </c>
      <c r="E9" s="4">
        <f t="shared" si="0"/>
        <v>-43191.879926573798</v>
      </c>
      <c r="F9" s="4">
        <f t="shared" si="0"/>
        <v>-49362.14848751291</v>
      </c>
      <c r="G9" s="4">
        <f t="shared" si="0"/>
        <v>-54846.83165279212</v>
      </c>
      <c r="H9" s="9">
        <f t="shared" si="0"/>
        <v>-59697.231730930202</v>
      </c>
    </row>
    <row r="10" spans="1:8" ht="15" x14ac:dyDescent="0.25">
      <c r="A10" s="5" t="s">
        <v>13</v>
      </c>
      <c r="B10" s="4">
        <f>B9</f>
        <v>-67517</v>
      </c>
      <c r="C10" s="4">
        <f>B10+C9</f>
        <v>-96088.428571428565</v>
      </c>
      <c r="D10" s="4">
        <f t="shared" ref="D10:H10" si="1">C10+D9</f>
        <v>-132369.60770975056</v>
      </c>
      <c r="E10" s="4">
        <f t="shared" si="1"/>
        <v>-175561.48763632437</v>
      </c>
      <c r="F10" s="4">
        <f t="shared" si="1"/>
        <v>-224923.63612383726</v>
      </c>
      <c r="G10" s="4">
        <f t="shared" si="1"/>
        <v>-279770.46777662938</v>
      </c>
      <c r="H10" s="9">
        <f t="shared" si="1"/>
        <v>-339467.69950755959</v>
      </c>
    </row>
    <row r="11" spans="1:8" x14ac:dyDescent="0.2">
      <c r="A11" s="14"/>
      <c r="B11" s="15"/>
      <c r="C11" s="15"/>
      <c r="D11" s="15"/>
      <c r="E11" s="15"/>
      <c r="F11" s="15"/>
      <c r="G11" s="15"/>
      <c r="H11" s="16"/>
    </row>
    <row r="12" spans="1:8" ht="28.5" x14ac:dyDescent="0.2">
      <c r="A12" s="12" t="s">
        <v>15</v>
      </c>
      <c r="B12" s="4">
        <v>0</v>
      </c>
      <c r="C12" s="4">
        <v>10500</v>
      </c>
      <c r="D12" s="4">
        <v>14000</v>
      </c>
      <c r="E12" s="4">
        <v>16500</v>
      </c>
      <c r="F12" s="4">
        <v>18000</v>
      </c>
      <c r="G12" s="4">
        <v>20500</v>
      </c>
      <c r="H12" s="9">
        <v>23000</v>
      </c>
    </row>
    <row r="13" spans="1:8" x14ac:dyDescent="0.2">
      <c r="A13" t="s">
        <v>14</v>
      </c>
      <c r="B13" s="3">
        <f>B8</f>
        <v>1</v>
      </c>
      <c r="C13" s="3">
        <f>C8</f>
        <v>0.95238095238095233</v>
      </c>
      <c r="D13" s="3">
        <f t="shared" ref="D13:H13" si="2">D8</f>
        <v>0.90702947845804982</v>
      </c>
      <c r="E13" s="3">
        <f t="shared" si="2"/>
        <v>0.86383759853147601</v>
      </c>
      <c r="F13" s="3">
        <f t="shared" si="2"/>
        <v>0.82270247479188185</v>
      </c>
      <c r="G13" s="3">
        <f t="shared" si="2"/>
        <v>0.78352616646845885</v>
      </c>
      <c r="H13" s="8">
        <f t="shared" si="2"/>
        <v>0.7462153966366275</v>
      </c>
    </row>
    <row r="14" spans="1:8" ht="15" x14ac:dyDescent="0.25">
      <c r="A14" t="s">
        <v>16</v>
      </c>
      <c r="B14" s="4">
        <f>B12*B13</f>
        <v>0</v>
      </c>
      <c r="C14" s="4">
        <f t="shared" ref="C14:H14" si="3">C12*C13</f>
        <v>10000</v>
      </c>
      <c r="D14" s="4">
        <f t="shared" si="3"/>
        <v>12698.412698412698</v>
      </c>
      <c r="E14" s="4">
        <f t="shared" si="3"/>
        <v>14253.320375769354</v>
      </c>
      <c r="F14" s="4">
        <f t="shared" si="3"/>
        <v>14808.644546253874</v>
      </c>
      <c r="G14" s="4">
        <f t="shared" si="3"/>
        <v>16062.286412603406</v>
      </c>
      <c r="H14" s="9">
        <f t="shared" si="3"/>
        <v>17162.954122642434</v>
      </c>
    </row>
    <row r="15" spans="1:8" ht="30" x14ac:dyDescent="0.2">
      <c r="A15" s="11" t="s">
        <v>17</v>
      </c>
      <c r="B15" s="4">
        <v>0</v>
      </c>
      <c r="C15" s="4">
        <f>B15+C14</f>
        <v>10000</v>
      </c>
      <c r="D15" s="4">
        <f t="shared" ref="D15:H15" si="4">C15+D14</f>
        <v>22698.4126984127</v>
      </c>
      <c r="E15" s="4">
        <f t="shared" si="4"/>
        <v>36951.733074182055</v>
      </c>
      <c r="F15" s="4">
        <f t="shared" si="4"/>
        <v>51760.377620435931</v>
      </c>
      <c r="G15" s="4">
        <f t="shared" si="4"/>
        <v>67822.664033039342</v>
      </c>
      <c r="H15" s="9">
        <f t="shared" si="4"/>
        <v>84985.618155681776</v>
      </c>
    </row>
    <row r="16" spans="1:8" x14ac:dyDescent="0.2">
      <c r="B16" s="4"/>
      <c r="C16" s="4"/>
      <c r="D16" s="4"/>
      <c r="E16" s="4"/>
      <c r="F16" s="4"/>
      <c r="G16" s="4"/>
      <c r="H16" s="9"/>
    </row>
    <row r="17" spans="1:8" ht="30.75" thickBot="1" x14ac:dyDescent="0.25">
      <c r="A17" s="13" t="s">
        <v>18</v>
      </c>
      <c r="B17" s="7">
        <f>B15+B10</f>
        <v>-67517</v>
      </c>
      <c r="C17" s="7">
        <f>C15+C10</f>
        <v>-86088.428571428565</v>
      </c>
      <c r="D17" s="7">
        <f t="shared" ref="D17:H17" si="5">D15+D10</f>
        <v>-109671.19501133787</v>
      </c>
      <c r="E17" s="7">
        <f t="shared" si="5"/>
        <v>-138609.75456214231</v>
      </c>
      <c r="F17" s="7">
        <f t="shared" si="5"/>
        <v>-173163.25850340133</v>
      </c>
      <c r="G17" s="7">
        <f t="shared" si="5"/>
        <v>-211947.80374359002</v>
      </c>
      <c r="H17" s="10">
        <f t="shared" si="5"/>
        <v>-254482.08135187783</v>
      </c>
    </row>
    <row r="18" spans="1:8" ht="15" thickTop="1" x14ac:dyDescent="0.2">
      <c r="A18" s="6"/>
    </row>
  </sheetData>
  <mergeCells count="3">
    <mergeCell ref="A3:H3"/>
    <mergeCell ref="A2:H2"/>
    <mergeCell ref="A1:H1"/>
  </mergeCells>
  <pageMargins left="0.25" right="0.25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F65D-9679-465C-B757-BCDB54DB594C}">
  <dimension ref="A1:H18"/>
  <sheetViews>
    <sheetView workbookViewId="0">
      <selection sqref="A1:I18"/>
    </sheetView>
  </sheetViews>
  <sheetFormatPr defaultRowHeight="14.25" x14ac:dyDescent="0.2"/>
  <cols>
    <col min="1" max="1" width="36.375" customWidth="1"/>
    <col min="2" max="3" width="11.5" bestFit="1" customWidth="1"/>
    <col min="4" max="8" width="12.5" bestFit="1" customWidth="1"/>
    <col min="9" max="9" width="2.875" customWidth="1"/>
  </cols>
  <sheetData>
    <row r="1" spans="1:8" ht="23.25" x14ac:dyDescent="0.2">
      <c r="A1" s="19" t="s">
        <v>22</v>
      </c>
      <c r="B1" s="18"/>
      <c r="C1" s="18"/>
      <c r="D1" s="18"/>
      <c r="E1" s="18"/>
      <c r="F1" s="18"/>
      <c r="G1" s="18"/>
      <c r="H1" s="18"/>
    </row>
    <row r="2" spans="1:8" ht="23.25" x14ac:dyDescent="0.2">
      <c r="A2" s="18" t="s">
        <v>19</v>
      </c>
      <c r="B2" s="18"/>
      <c r="C2" s="18"/>
      <c r="D2" s="18"/>
      <c r="E2" s="18"/>
      <c r="F2" s="18"/>
      <c r="G2" s="18"/>
      <c r="H2" s="18"/>
    </row>
    <row r="3" spans="1:8" x14ac:dyDescent="0.2">
      <c r="A3" s="17" t="s">
        <v>8</v>
      </c>
      <c r="B3" s="17"/>
      <c r="C3" s="17"/>
      <c r="D3" s="17"/>
      <c r="E3" s="17"/>
      <c r="F3" s="17"/>
      <c r="G3" s="17"/>
      <c r="H3" s="17"/>
    </row>
    <row r="4" spans="1:8" ht="15" thickBot="1" x14ac:dyDescent="0.25"/>
    <row r="5" spans="1:8" ht="15.75" thickBot="1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">
      <c r="A6" t="s">
        <v>9</v>
      </c>
      <c r="B6" s="4">
        <v>-68417</v>
      </c>
      <c r="C6" s="3"/>
      <c r="D6" s="3"/>
      <c r="E6" s="3"/>
      <c r="F6" s="3"/>
      <c r="G6" s="3"/>
      <c r="H6" s="8"/>
    </row>
    <row r="7" spans="1:8" x14ac:dyDescent="0.2">
      <c r="A7" t="s">
        <v>10</v>
      </c>
      <c r="B7" s="4">
        <v>0</v>
      </c>
      <c r="C7" s="4">
        <v>-30000</v>
      </c>
      <c r="D7" s="4">
        <v>-40000</v>
      </c>
      <c r="E7" s="4">
        <v>-50000</v>
      </c>
      <c r="F7" s="4">
        <v>-60000</v>
      </c>
      <c r="G7" s="4">
        <v>-70000</v>
      </c>
      <c r="H7" s="9">
        <v>-80000</v>
      </c>
    </row>
    <row r="8" spans="1:8" x14ac:dyDescent="0.2">
      <c r="A8" t="s">
        <v>11</v>
      </c>
      <c r="B8" s="3">
        <f>POWER(1/(1+0.05),0)</f>
        <v>1</v>
      </c>
      <c r="C8" s="3">
        <f>POWER(1/(1+0.05),1)</f>
        <v>0.95238095238095233</v>
      </c>
      <c r="D8" s="3">
        <f>POWER(1/(1+0.05),2)</f>
        <v>0.90702947845804982</v>
      </c>
      <c r="E8" s="3">
        <f>POWER(1/(1+0.05),3)</f>
        <v>0.86383759853147601</v>
      </c>
      <c r="F8" s="3">
        <f>POWER(1/(1+0.05),4)</f>
        <v>0.82270247479188185</v>
      </c>
      <c r="G8" s="3">
        <f>POWER(1/(1+0.05),5)</f>
        <v>0.78352616646845885</v>
      </c>
      <c r="H8" s="8">
        <f>POWER(1/(1+0.05),6)</f>
        <v>0.7462153966366275</v>
      </c>
    </row>
    <row r="9" spans="1:8" ht="15" x14ac:dyDescent="0.25">
      <c r="A9" t="s">
        <v>12</v>
      </c>
      <c r="B9" s="4">
        <f>B6*B8</f>
        <v>-68417</v>
      </c>
      <c r="C9" s="4">
        <f>C$7*C$8</f>
        <v>-28571.428571428569</v>
      </c>
      <c r="D9" s="4">
        <f t="shared" ref="D9:H9" si="0">D$7*D$8</f>
        <v>-36281.17913832199</v>
      </c>
      <c r="E9" s="4">
        <f t="shared" si="0"/>
        <v>-43191.879926573798</v>
      </c>
      <c r="F9" s="4">
        <f t="shared" si="0"/>
        <v>-49362.14848751291</v>
      </c>
      <c r="G9" s="4">
        <f t="shared" si="0"/>
        <v>-54846.83165279212</v>
      </c>
      <c r="H9" s="9">
        <f t="shared" si="0"/>
        <v>-59697.231730930202</v>
      </c>
    </row>
    <row r="10" spans="1:8" ht="15" x14ac:dyDescent="0.25">
      <c r="A10" s="5" t="s">
        <v>13</v>
      </c>
      <c r="B10" s="4">
        <f>B9</f>
        <v>-68417</v>
      </c>
      <c r="C10" s="4">
        <f>B10+C9</f>
        <v>-96988.428571428565</v>
      </c>
      <c r="D10" s="4">
        <f t="shared" ref="D10:H10" si="1">C10+D9</f>
        <v>-133269.60770975056</v>
      </c>
      <c r="E10" s="4">
        <f t="shared" si="1"/>
        <v>-176461.48763632437</v>
      </c>
      <c r="F10" s="4">
        <f t="shared" si="1"/>
        <v>-225823.63612383726</v>
      </c>
      <c r="G10" s="4">
        <f t="shared" si="1"/>
        <v>-280670.46777662938</v>
      </c>
      <c r="H10" s="9">
        <f t="shared" si="1"/>
        <v>-340367.69950755959</v>
      </c>
    </row>
    <row r="11" spans="1:8" x14ac:dyDescent="0.2">
      <c r="A11" s="14"/>
      <c r="B11" s="15"/>
      <c r="C11" s="15"/>
      <c r="D11" s="15"/>
      <c r="E11" s="15"/>
      <c r="F11" s="15"/>
      <c r="G11" s="15"/>
      <c r="H11" s="16"/>
    </row>
    <row r="12" spans="1:8" ht="28.5" x14ac:dyDescent="0.2">
      <c r="A12" s="12" t="s">
        <v>15</v>
      </c>
      <c r="B12" s="4">
        <v>0</v>
      </c>
      <c r="C12" s="4">
        <v>10500</v>
      </c>
      <c r="D12" s="4">
        <v>14000</v>
      </c>
      <c r="E12" s="4">
        <v>16500</v>
      </c>
      <c r="F12" s="4">
        <v>18000</v>
      </c>
      <c r="G12" s="4">
        <v>20500</v>
      </c>
      <c r="H12" s="9">
        <v>23000</v>
      </c>
    </row>
    <row r="13" spans="1:8" x14ac:dyDescent="0.2">
      <c r="A13" t="s">
        <v>14</v>
      </c>
      <c r="B13" s="3">
        <f>B8</f>
        <v>1</v>
      </c>
      <c r="C13" s="3">
        <f>C8</f>
        <v>0.95238095238095233</v>
      </c>
      <c r="D13" s="3">
        <f t="shared" ref="D13:H13" si="2">D8</f>
        <v>0.90702947845804982</v>
      </c>
      <c r="E13" s="3">
        <f t="shared" si="2"/>
        <v>0.86383759853147601</v>
      </c>
      <c r="F13" s="3">
        <f t="shared" si="2"/>
        <v>0.82270247479188185</v>
      </c>
      <c r="G13" s="3">
        <f t="shared" si="2"/>
        <v>0.78352616646845885</v>
      </c>
      <c r="H13" s="8">
        <f t="shared" si="2"/>
        <v>0.7462153966366275</v>
      </c>
    </row>
    <row r="14" spans="1:8" ht="15" x14ac:dyDescent="0.25">
      <c r="A14" t="s">
        <v>16</v>
      </c>
      <c r="B14" s="4">
        <f>B12*B13</f>
        <v>0</v>
      </c>
      <c r="C14" s="4">
        <f t="shared" ref="C14:H14" si="3">C12*C13</f>
        <v>10000</v>
      </c>
      <c r="D14" s="4">
        <f t="shared" si="3"/>
        <v>12698.412698412698</v>
      </c>
      <c r="E14" s="4">
        <f t="shared" si="3"/>
        <v>14253.320375769354</v>
      </c>
      <c r="F14" s="4">
        <f t="shared" si="3"/>
        <v>14808.644546253874</v>
      </c>
      <c r="G14" s="4">
        <f t="shared" si="3"/>
        <v>16062.286412603406</v>
      </c>
      <c r="H14" s="9">
        <f t="shared" si="3"/>
        <v>17162.954122642434</v>
      </c>
    </row>
    <row r="15" spans="1:8" ht="30" x14ac:dyDescent="0.2">
      <c r="A15" s="11" t="s">
        <v>17</v>
      </c>
      <c r="B15" s="4">
        <v>0</v>
      </c>
      <c r="C15" s="4">
        <f>B15+C14</f>
        <v>10000</v>
      </c>
      <c r="D15" s="4">
        <f t="shared" ref="D15:H15" si="4">C15+D14</f>
        <v>22698.4126984127</v>
      </c>
      <c r="E15" s="4">
        <f t="shared" si="4"/>
        <v>36951.733074182055</v>
      </c>
      <c r="F15" s="4">
        <f t="shared" si="4"/>
        <v>51760.377620435931</v>
      </c>
      <c r="G15" s="4">
        <f t="shared" si="4"/>
        <v>67822.664033039342</v>
      </c>
      <c r="H15" s="9">
        <f t="shared" si="4"/>
        <v>84985.618155681776</v>
      </c>
    </row>
    <row r="16" spans="1:8" x14ac:dyDescent="0.2">
      <c r="B16" s="4"/>
      <c r="C16" s="4"/>
      <c r="D16" s="4"/>
      <c r="E16" s="4"/>
      <c r="F16" s="4"/>
      <c r="G16" s="4"/>
      <c r="H16" s="9"/>
    </row>
    <row r="17" spans="1:8" ht="30.75" thickBot="1" x14ac:dyDescent="0.25">
      <c r="A17" s="13" t="s">
        <v>18</v>
      </c>
      <c r="B17" s="7">
        <f>B15+B10</f>
        <v>-68417</v>
      </c>
      <c r="C17" s="7">
        <f>C15+C10</f>
        <v>-86988.428571428565</v>
      </c>
      <c r="D17" s="7">
        <f t="shared" ref="D17:H17" si="5">D15+D10</f>
        <v>-110571.19501133787</v>
      </c>
      <c r="E17" s="7">
        <f t="shared" si="5"/>
        <v>-139509.75456214231</v>
      </c>
      <c r="F17" s="7">
        <f t="shared" si="5"/>
        <v>-174063.25850340133</v>
      </c>
      <c r="G17" s="7">
        <f t="shared" si="5"/>
        <v>-212847.80374359002</v>
      </c>
      <c r="H17" s="10">
        <f t="shared" si="5"/>
        <v>-255382.08135187783</v>
      </c>
    </row>
    <row r="18" spans="1:8" ht="15" thickTop="1" x14ac:dyDescent="0.2">
      <c r="A18" s="6"/>
    </row>
  </sheetData>
  <mergeCells count="3">
    <mergeCell ref="A2:H2"/>
    <mergeCell ref="A3:H3"/>
    <mergeCell ref="A1:H1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073A-733F-4796-8F58-F2B519BDE57C}">
  <dimension ref="A1:H18"/>
  <sheetViews>
    <sheetView workbookViewId="0">
      <selection activeCell="K8" sqref="K8"/>
    </sheetView>
  </sheetViews>
  <sheetFormatPr defaultRowHeight="14.25" x14ac:dyDescent="0.2"/>
  <cols>
    <col min="1" max="1" width="36.375" customWidth="1"/>
    <col min="2" max="2" width="11.5" bestFit="1" customWidth="1"/>
    <col min="3" max="8" width="12.5" bestFit="1" customWidth="1"/>
    <col min="9" max="9" width="3.25" customWidth="1"/>
  </cols>
  <sheetData>
    <row r="1" spans="1:8" ht="23.25" x14ac:dyDescent="0.2">
      <c r="A1" s="19" t="s">
        <v>22</v>
      </c>
      <c r="B1" s="18"/>
      <c r="C1" s="18"/>
      <c r="D1" s="18"/>
      <c r="E1" s="18"/>
      <c r="F1" s="18"/>
      <c r="G1" s="18"/>
      <c r="H1" s="18"/>
    </row>
    <row r="2" spans="1:8" ht="23.25" x14ac:dyDescent="0.2">
      <c r="A2" s="18" t="s">
        <v>21</v>
      </c>
      <c r="B2" s="18"/>
      <c r="C2" s="18"/>
      <c r="D2" s="18"/>
      <c r="E2" s="18"/>
      <c r="F2" s="18"/>
      <c r="G2" s="18"/>
      <c r="H2" s="18"/>
    </row>
    <row r="3" spans="1:8" x14ac:dyDescent="0.2">
      <c r="A3" s="17" t="s">
        <v>8</v>
      </c>
      <c r="B3" s="17"/>
      <c r="C3" s="17"/>
      <c r="D3" s="17"/>
      <c r="E3" s="17"/>
      <c r="F3" s="17"/>
      <c r="G3" s="17"/>
      <c r="H3" s="17"/>
    </row>
    <row r="4" spans="1:8" ht="15" thickBot="1" x14ac:dyDescent="0.25"/>
    <row r="5" spans="1:8" ht="15.75" thickBot="1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">
      <c r="A6" t="s">
        <v>9</v>
      </c>
      <c r="B6" s="4">
        <v>-10000</v>
      </c>
      <c r="C6" s="3"/>
      <c r="D6" s="3"/>
      <c r="E6" s="3"/>
      <c r="F6" s="3"/>
      <c r="G6" s="3"/>
      <c r="H6" s="8"/>
    </row>
    <row r="7" spans="1:8" x14ac:dyDescent="0.2">
      <c r="A7" t="s">
        <v>10</v>
      </c>
      <c r="B7" s="4">
        <v>0</v>
      </c>
      <c r="C7" s="4">
        <v>-10000</v>
      </c>
      <c r="D7" s="4">
        <v>-20000</v>
      </c>
      <c r="E7" s="4">
        <v>-30000</v>
      </c>
      <c r="F7" s="4">
        <v>-40000</v>
      </c>
      <c r="G7" s="4">
        <v>-50000</v>
      </c>
      <c r="H7" s="9">
        <v>-60000</v>
      </c>
    </row>
    <row r="8" spans="1:8" x14ac:dyDescent="0.2">
      <c r="A8" t="s">
        <v>11</v>
      </c>
      <c r="B8" s="3">
        <f>POWER(1/(1+0.05),0)</f>
        <v>1</v>
      </c>
      <c r="C8" s="3">
        <f>POWER(1/(1+0.05),1)</f>
        <v>0.95238095238095233</v>
      </c>
      <c r="D8" s="3">
        <f>POWER(1/(1+0.05),2)</f>
        <v>0.90702947845804982</v>
      </c>
      <c r="E8" s="3">
        <f>POWER(1/(1+0.05),3)</f>
        <v>0.86383759853147601</v>
      </c>
      <c r="F8" s="3">
        <f>POWER(1/(1+0.05),4)</f>
        <v>0.82270247479188185</v>
      </c>
      <c r="G8" s="3">
        <f>POWER(1/(1+0.05),5)</f>
        <v>0.78352616646845885</v>
      </c>
      <c r="H8" s="8">
        <f>POWER(1/(1+0.05),6)</f>
        <v>0.7462153966366275</v>
      </c>
    </row>
    <row r="9" spans="1:8" ht="15" x14ac:dyDescent="0.25">
      <c r="A9" t="s">
        <v>12</v>
      </c>
      <c r="B9" s="4">
        <f>B6*B8</f>
        <v>-10000</v>
      </c>
      <c r="C9" s="4">
        <f>C$7*C$8</f>
        <v>-9523.8095238095229</v>
      </c>
      <c r="D9" s="4">
        <f t="shared" ref="D9:H9" si="0">D$7*D$8</f>
        <v>-18140.589569160995</v>
      </c>
      <c r="E9" s="4">
        <f t="shared" si="0"/>
        <v>-25915.127955944281</v>
      </c>
      <c r="F9" s="4">
        <f t="shared" si="0"/>
        <v>-32908.098991675273</v>
      </c>
      <c r="G9" s="4">
        <f t="shared" si="0"/>
        <v>-39176.308323422942</v>
      </c>
      <c r="H9" s="9">
        <f t="shared" si="0"/>
        <v>-44772.923798197648</v>
      </c>
    </row>
    <row r="10" spans="1:8" ht="15" x14ac:dyDescent="0.25">
      <c r="A10" s="5" t="s">
        <v>13</v>
      </c>
      <c r="B10" s="4">
        <f>B9</f>
        <v>-10000</v>
      </c>
      <c r="C10" s="4">
        <f>B10+C9</f>
        <v>-19523.809523809523</v>
      </c>
      <c r="D10" s="4">
        <f t="shared" ref="D10:H10" si="1">C10+D9</f>
        <v>-37664.399092970518</v>
      </c>
      <c r="E10" s="4">
        <f t="shared" si="1"/>
        <v>-63579.527048914795</v>
      </c>
      <c r="F10" s="4">
        <f t="shared" si="1"/>
        <v>-96487.626040590068</v>
      </c>
      <c r="G10" s="4">
        <f t="shared" si="1"/>
        <v>-135663.93436401302</v>
      </c>
      <c r="H10" s="9">
        <f t="shared" si="1"/>
        <v>-180436.85816221067</v>
      </c>
    </row>
    <row r="11" spans="1:8" x14ac:dyDescent="0.2">
      <c r="A11" s="14"/>
      <c r="B11" s="15"/>
      <c r="C11" s="15"/>
      <c r="D11" s="15"/>
      <c r="E11" s="15"/>
      <c r="F11" s="15"/>
      <c r="G11" s="15"/>
      <c r="H11" s="16"/>
    </row>
    <row r="12" spans="1:8" ht="28.5" x14ac:dyDescent="0.2">
      <c r="A12" s="12" t="s">
        <v>15</v>
      </c>
      <c r="B12" s="4">
        <v>0</v>
      </c>
      <c r="C12" s="4">
        <v>20000</v>
      </c>
      <c r="D12" s="4">
        <v>30000</v>
      </c>
      <c r="E12" s="4">
        <v>40000</v>
      </c>
      <c r="F12" s="4">
        <v>50000</v>
      </c>
      <c r="G12" s="4">
        <v>60000</v>
      </c>
      <c r="H12" s="9">
        <v>70000</v>
      </c>
    </row>
    <row r="13" spans="1:8" x14ac:dyDescent="0.2">
      <c r="A13" t="s">
        <v>14</v>
      </c>
      <c r="B13" s="3">
        <f>B8</f>
        <v>1</v>
      </c>
      <c r="C13" s="3">
        <f>C8</f>
        <v>0.95238095238095233</v>
      </c>
      <c r="D13" s="3">
        <f t="shared" ref="D13:H13" si="2">D8</f>
        <v>0.90702947845804982</v>
      </c>
      <c r="E13" s="3">
        <f t="shared" si="2"/>
        <v>0.86383759853147601</v>
      </c>
      <c r="F13" s="3">
        <f t="shared" si="2"/>
        <v>0.82270247479188185</v>
      </c>
      <c r="G13" s="3">
        <f t="shared" si="2"/>
        <v>0.78352616646845885</v>
      </c>
      <c r="H13" s="8">
        <f t="shared" si="2"/>
        <v>0.7462153966366275</v>
      </c>
    </row>
    <row r="14" spans="1:8" ht="15" x14ac:dyDescent="0.25">
      <c r="A14" t="s">
        <v>16</v>
      </c>
      <c r="B14" s="4">
        <f>B12*B13</f>
        <v>0</v>
      </c>
      <c r="C14" s="4">
        <f t="shared" ref="C14:H14" si="3">C12*C13</f>
        <v>19047.619047619046</v>
      </c>
      <c r="D14" s="4">
        <f t="shared" si="3"/>
        <v>27210.884353741494</v>
      </c>
      <c r="E14" s="4">
        <f t="shared" si="3"/>
        <v>34553.503941259041</v>
      </c>
      <c r="F14" s="4">
        <f t="shared" si="3"/>
        <v>41135.123739594092</v>
      </c>
      <c r="G14" s="4">
        <f t="shared" si="3"/>
        <v>47011.569988107534</v>
      </c>
      <c r="H14" s="9">
        <f t="shared" si="3"/>
        <v>52235.077764563925</v>
      </c>
    </row>
    <row r="15" spans="1:8" ht="30" x14ac:dyDescent="0.2">
      <c r="A15" s="11" t="s">
        <v>17</v>
      </c>
      <c r="B15" s="4">
        <v>0</v>
      </c>
      <c r="C15" s="4">
        <f>B15+C14</f>
        <v>19047.619047619046</v>
      </c>
      <c r="D15" s="4">
        <f t="shared" ref="D15:H15" si="4">C15+D14</f>
        <v>46258.50340136054</v>
      </c>
      <c r="E15" s="4">
        <f t="shared" si="4"/>
        <v>80812.007342619589</v>
      </c>
      <c r="F15" s="4">
        <f t="shared" si="4"/>
        <v>121947.13108221369</v>
      </c>
      <c r="G15" s="4">
        <f t="shared" si="4"/>
        <v>168958.70107032123</v>
      </c>
      <c r="H15" s="9">
        <f t="shared" si="4"/>
        <v>221193.77883488516</v>
      </c>
    </row>
    <row r="16" spans="1:8" x14ac:dyDescent="0.2">
      <c r="B16" s="4"/>
      <c r="C16" s="4"/>
      <c r="D16" s="4"/>
      <c r="E16" s="4"/>
      <c r="F16" s="4"/>
      <c r="G16" s="4"/>
      <c r="H16" s="9"/>
    </row>
    <row r="17" spans="1:8" ht="30.75" thickBot="1" x14ac:dyDescent="0.25">
      <c r="A17" s="13" t="s">
        <v>18</v>
      </c>
      <c r="B17" s="7">
        <f>B15+B10</f>
        <v>-10000</v>
      </c>
      <c r="C17" s="7">
        <f>C15+C10</f>
        <v>-476.19047619047706</v>
      </c>
      <c r="D17" s="7">
        <f t="shared" ref="D17:H17" si="5">D15+D10</f>
        <v>8594.1043083900222</v>
      </c>
      <c r="E17" s="7">
        <f t="shared" si="5"/>
        <v>17232.480293704793</v>
      </c>
      <c r="F17" s="7">
        <f t="shared" si="5"/>
        <v>25459.505041623619</v>
      </c>
      <c r="G17" s="7">
        <f t="shared" si="5"/>
        <v>33294.766706308204</v>
      </c>
      <c r="H17" s="10">
        <f t="shared" si="5"/>
        <v>40756.920672674489</v>
      </c>
    </row>
    <row r="18" spans="1:8" ht="15" thickTop="1" x14ac:dyDescent="0.2">
      <c r="A18" s="6"/>
    </row>
  </sheetData>
  <mergeCells count="3">
    <mergeCell ref="A2:H2"/>
    <mergeCell ref="A3:H3"/>
    <mergeCell ref="A1:H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As-Is Alternative</vt:lpstr>
      <vt:lpstr>Artsystems Pro Alternative</vt:lpstr>
      <vt:lpstr>Custom Built 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</dc:creator>
  <cp:lastModifiedBy>Alwyn</cp:lastModifiedBy>
  <cp:lastPrinted>2018-09-15T15:37:32Z</cp:lastPrinted>
  <dcterms:created xsi:type="dcterms:W3CDTF">2018-07-21T13:07:27Z</dcterms:created>
  <dcterms:modified xsi:type="dcterms:W3CDTF">2018-09-15T15:44:38Z</dcterms:modified>
</cp:coreProperties>
</file>